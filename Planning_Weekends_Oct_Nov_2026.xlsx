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Suivi" sheetId="2" state="visible" r:id="rId4"/>
  </sheets>
  <definedNames>
    <definedName function="false" hidden="true" localSheetId="0" name="_xlnm._FilterDatabase" vbProcedure="false">Checklist!$A$4:$I$36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<sst xmlns="http://schemas.openxmlformats.org/spreadsheetml/2006/main" count="182" uniqueCount="61">
  <si>
    <t xml:space="preserve">Planning week-ends : préparation entretien, projet C++ embarqué et blockchain (oct. – nov. 2026)</t>
  </si>
  <si>
    <t xml:space="preserve">Mode d'emploi : choisis « Oui » dans la colonne Fait quand une tâche est terminée ; ajoute tes remarques dans Notes. Seules ces deux colonnes sont à remplir.</t>
  </si>
  <si>
    <t xml:space="preserve">N°</t>
  </si>
  <si>
    <t xml:space="preserve">Date</t>
  </si>
  <si>
    <t xml:space="preserve">Jour</t>
  </si>
  <si>
    <t xml:space="preserve">Bloc</t>
  </si>
  <si>
    <t xml:space="preserve">Durée (h)</t>
  </si>
  <si>
    <t xml:space="preserve">Thème</t>
  </si>
  <si>
    <t xml:space="preserve">Tâche</t>
  </si>
  <si>
    <t xml:space="preserve">Fait</t>
  </si>
  <si>
    <t xml:space="preserve">Notes</t>
  </si>
  <si>
    <t xml:space="preserve">Samedi</t>
  </si>
  <si>
    <t xml:space="preserve">Préparation entretien</t>
  </si>
  <si>
    <t xml:space="preserve">AUTOSAR</t>
  </si>
  <si>
    <t xml:space="preserve">Dessiner l'architecture (SWC, RTE, BSW, MCAL) et le chemin d'un signal CAN (Can → CanIf → PduR → Com → RTE)</t>
  </si>
  <si>
    <t xml:space="preserve">Non</t>
  </si>
  <si>
    <t xml:space="preserve">MCAL</t>
  </si>
  <si>
    <t xml:space="preserve">Driver SPI (canaux, jobs, séquences) et arbre d'horloge (PLL, diviseurs)</t>
  </si>
  <si>
    <t xml:space="preserve">Projet C++</t>
  </si>
  <si>
    <t xml:space="preserve">Commander le matériel : Nucleo-F446RE, SN65HVD230, LiDAR TF-Luna</t>
  </si>
  <si>
    <t xml:space="preserve">Blockchain</t>
  </si>
  <si>
    <t xml:space="preserve">Audit Solidity</t>
  </si>
  <si>
    <t xml:space="preserve">Suivre la tâche du jour de la checklist Blockchain (2 blocs de 3 h)</t>
  </si>
  <si>
    <t xml:space="preserve">Dimanche</t>
  </si>
  <si>
    <t xml:space="preserve">CAN</t>
  </si>
  <si>
    <t xml:space="preserve">Trame, arbitrage, bit stuffing, CAN FD, erreurs et bus-off</t>
  </si>
  <si>
    <t xml:space="preserve">LIN</t>
  </si>
  <si>
    <t xml:space="preserve">Maître/esclave, schedule table, fichier LDF</t>
  </si>
  <si>
    <t xml:space="preserve">Diagnostic</t>
  </si>
  <si>
    <t xml:space="preserve">UDS (0x10, 0x14, 0x19, 0x22, 0x27), DTC, DEM, FiM, DEXT</t>
  </si>
  <si>
    <t xml:space="preserve">C embarqué</t>
  </si>
  <si>
    <t xml:space="preserve">volatile, const, static, manipulation de bits, buffer circulaire</t>
  </si>
  <si>
    <t xml:space="preserve">Temps réel</t>
  </si>
  <si>
    <t xml:space="preserve">Interruptions, mutex, inversion de priorité, multicœurs et spinlock</t>
  </si>
  <si>
    <t xml:space="preserve">Sûreté</t>
  </si>
  <si>
    <t xml:space="preserve">ISO 26262, ASIL B vs D, MISRA C, tests unitaires</t>
  </si>
  <si>
    <t xml:space="preserve">C++ embarqué</t>
  </si>
  <si>
    <t xml:space="preserve">Classes, RAII, enum class, constexpr, std::array ; pas de new ni d'exceptions</t>
  </si>
  <si>
    <t xml:space="preserve">Histoires</t>
  </si>
  <si>
    <t xml:space="preserve">Préparer les 3 histoires : SPI MCAL, plateforme de test, gestion de fautes BWI</t>
  </si>
  <si>
    <t xml:space="preserve">Simulation</t>
  </si>
  <si>
    <t xml:space="preserve">Simulation d'entretien avec Claude (envoyer « simulation »)</t>
  </si>
  <si>
    <t xml:space="preserve">Démarrage</t>
  </si>
  <si>
    <t xml:space="preserve">Installer l'environnement, classe Gpio, faire clignoter une LED</t>
  </si>
  <si>
    <t xml:space="preserve">Lundi</t>
  </si>
  <si>
    <t xml:space="preserve">Classe Uart, afficher des messages sur le PC</t>
  </si>
  <si>
    <t xml:space="preserve">Capteur</t>
  </si>
  <si>
    <t xml:space="preserve">Classe Lidar : lire la distance du TF-Luna</t>
  </si>
  <si>
    <t xml:space="preserve">Ordonnanceur (mesure toutes les 100 ms) + alerte si obstacle trop proche</t>
  </si>
  <si>
    <t xml:space="preserve">Classe Can en loopback, interruption de réception</t>
  </si>
  <si>
    <t xml:space="preserve">RingBuffer en template, envoi de la distance sur CAN toutes les 500 ms</t>
  </si>
  <si>
    <t xml:space="preserve">FaultManager avec compteurs et modes dégradés</t>
  </si>
  <si>
    <t xml:space="preserve">Finition</t>
  </si>
  <si>
    <t xml:space="preserve">Tests unitaires sur PC (GoogleTest) + README complet</t>
  </si>
  <si>
    <t xml:space="preserve">Suivi de l'avancement</t>
  </si>
  <si>
    <t xml:space="preserve">Tâches</t>
  </si>
  <si>
    <t xml:space="preserve">Faites</t>
  </si>
  <si>
    <t xml:space="preserve">Avancement</t>
  </si>
  <si>
    <t xml:space="preserve">Heures prévues</t>
  </si>
  <si>
    <t xml:space="preserve">Total</t>
  </si>
  <si>
    <t xml:space="preserve">Règles : le bloc emploi passe toujours en premier, le matin. Si un entretien arrive, il remplace la blockchain cette semaine-là. Si tu es fatigué, réduis la blockchain, jamais le repos.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</si>
</sst>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7"/>
        <bgColor rgb="FFEAF6EE"/>
      </patternFill>
    </fill>
    <fill>
      <patternFill patternType="solid">
        <fgColor rgb="FFEAF6EE"/>
        <bgColor rgb="FFEEF2F7"/>
      </patternFill>
    </fill>
    <fill>
      <patternFill patternType="solid">
        <fgColor rgb="FFFFF4E5"/>
        <bgColor rgb="FFEEF2F7"/>
      </patternFill>
    </fill>
    <fill>
      <patternFill patternType="solid">
        <fgColor rgb="FFFFFFFF"/>
        <bgColor rgb="FFFFF4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6EE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AF6EE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8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8.35" hidden="false" customHeight="false" outlineLevel="0" collapsed="false">
      <c r="A5" s="4" t="n">
        <v>1</v>
      </c>
      <c r="B5" s="5" t="n">
        <v>46312</v>
      </c>
      <c r="C5" s="4" t="s">
        <v>11</v>
      </c>
      <c r="D5" s="6" t="s">
        <v>12</v>
      </c>
      <c r="E5" s="4" t="n">
        <v>2</v>
      </c>
      <c r="F5" s="7" t="s">
        <v>13</v>
      </c>
      <c r="G5" s="7" t="s">
        <v>14</v>
      </c>
      <c r="H5" s="4" t="s">
        <v>15</v>
      </c>
      <c r="I5" s="7"/>
    </row>
    <row r="6" customFormat="false" ht="15" hidden="false" customHeight="false" outlineLevel="0" collapsed="false">
      <c r="A6" s="4" t="n">
        <v>2</v>
      </c>
      <c r="B6" s="5" t="n">
        <v>46312</v>
      </c>
      <c r="C6" s="4" t="s">
        <v>11</v>
      </c>
      <c r="D6" s="6" t="s">
        <v>12</v>
      </c>
      <c r="E6" s="4"/>
      <c r="F6" s="7" t="s">
        <v>16</v>
      </c>
      <c r="G6" s="7" t="s">
        <v>17</v>
      </c>
      <c r="H6" s="4" t="s">
        <v>15</v>
      </c>
      <c r="I6" s="7"/>
    </row>
    <row r="7" customFormat="false" ht="15" hidden="false" customHeight="false" outlineLevel="0" collapsed="false">
      <c r="A7" s="4" t="n">
        <v>3</v>
      </c>
      <c r="B7" s="5" t="n">
        <v>46312</v>
      </c>
      <c r="C7" s="4" t="s">
        <v>11</v>
      </c>
      <c r="D7" s="6" t="s">
        <v>12</v>
      </c>
      <c r="E7" s="4"/>
      <c r="F7" s="7" t="s">
        <v>18</v>
      </c>
      <c r="G7" s="7" t="s">
        <v>19</v>
      </c>
      <c r="H7" s="4" t="s">
        <v>15</v>
      </c>
      <c r="I7" s="7"/>
    </row>
    <row r="8" customFormat="false" ht="15" hidden="false" customHeight="false" outlineLevel="0" collapsed="false">
      <c r="A8" s="4" t="n">
        <v>4</v>
      </c>
      <c r="B8" s="5" t="n">
        <v>46312</v>
      </c>
      <c r="C8" s="4" t="s">
        <v>11</v>
      </c>
      <c r="D8" s="8" t="s">
        <v>20</v>
      </c>
      <c r="E8" s="4" t="n">
        <v>6</v>
      </c>
      <c r="F8" s="7" t="s">
        <v>21</v>
      </c>
      <c r="G8" s="7" t="s">
        <v>22</v>
      </c>
      <c r="H8" s="4" t="s">
        <v>15</v>
      </c>
      <c r="I8" s="7"/>
    </row>
    <row r="9" customFormat="false" ht="15" hidden="false" customHeight="false" outlineLevel="0" collapsed="false">
      <c r="A9" s="4" t="n">
        <v>5</v>
      </c>
      <c r="B9" s="5" t="n">
        <v>46313</v>
      </c>
      <c r="C9" s="4" t="s">
        <v>23</v>
      </c>
      <c r="D9" s="6" t="s">
        <v>12</v>
      </c>
      <c r="E9" s="4" t="n">
        <v>2</v>
      </c>
      <c r="F9" s="7" t="s">
        <v>24</v>
      </c>
      <c r="G9" s="7" t="s">
        <v>25</v>
      </c>
      <c r="H9" s="4" t="s">
        <v>15</v>
      </c>
      <c r="I9" s="7"/>
    </row>
    <row r="10" customFormat="false" ht="15" hidden="false" customHeight="false" outlineLevel="0" collapsed="false">
      <c r="A10" s="4" t="n">
        <v>6</v>
      </c>
      <c r="B10" s="5" t="n">
        <v>46313</v>
      </c>
      <c r="C10" s="4" t="s">
        <v>23</v>
      </c>
      <c r="D10" s="6" t="s">
        <v>12</v>
      </c>
      <c r="E10" s="4"/>
      <c r="F10" s="7" t="s">
        <v>26</v>
      </c>
      <c r="G10" s="7" t="s">
        <v>27</v>
      </c>
      <c r="H10" s="4" t="s">
        <v>15</v>
      </c>
      <c r="I10" s="7"/>
    </row>
    <row r="11" customFormat="false" ht="15" hidden="false" customHeight="false" outlineLevel="0" collapsed="false">
      <c r="A11" s="4" t="n">
        <v>7</v>
      </c>
      <c r="B11" s="5" t="n">
        <v>46313</v>
      </c>
      <c r="C11" s="4" t="s">
        <v>23</v>
      </c>
      <c r="D11" s="6" t="s">
        <v>12</v>
      </c>
      <c r="E11" s="4"/>
      <c r="F11" s="7" t="s">
        <v>28</v>
      </c>
      <c r="G11" s="7" t="s">
        <v>29</v>
      </c>
      <c r="H11" s="4" t="s">
        <v>15</v>
      </c>
      <c r="I11" s="7"/>
    </row>
    <row r="12" customFormat="false" ht="15" hidden="false" customHeight="false" outlineLevel="0" collapsed="false">
      <c r="A12" s="4" t="n">
        <v>8</v>
      </c>
      <c r="B12" s="5" t="n">
        <v>46313</v>
      </c>
      <c r="C12" s="4" t="s">
        <v>23</v>
      </c>
      <c r="D12" s="8" t="s">
        <v>20</v>
      </c>
      <c r="E12" s="4" t="n">
        <v>6</v>
      </c>
      <c r="F12" s="7" t="s">
        <v>21</v>
      </c>
      <c r="G12" s="7" t="s">
        <v>22</v>
      </c>
      <c r="H12" s="4" t="s">
        <v>15</v>
      </c>
      <c r="I12" s="7"/>
    </row>
    <row r="13" customFormat="false" ht="15" hidden="false" customHeight="false" outlineLevel="0" collapsed="false">
      <c r="A13" s="4" t="n">
        <v>9</v>
      </c>
      <c r="B13" s="5" t="n">
        <v>46319</v>
      </c>
      <c r="C13" s="4" t="s">
        <v>11</v>
      </c>
      <c r="D13" s="6" t="s">
        <v>12</v>
      </c>
      <c r="E13" s="4" t="n">
        <v>2</v>
      </c>
      <c r="F13" s="7" t="s">
        <v>30</v>
      </c>
      <c r="G13" s="7" t="s">
        <v>31</v>
      </c>
      <c r="H13" s="4" t="s">
        <v>15</v>
      </c>
      <c r="I13" s="7"/>
    </row>
    <row r="14" customFormat="false" ht="15" hidden="false" customHeight="false" outlineLevel="0" collapsed="false">
      <c r="A14" s="4" t="n">
        <v>10</v>
      </c>
      <c r="B14" s="5" t="n">
        <v>46319</v>
      </c>
      <c r="C14" s="4" t="s">
        <v>11</v>
      </c>
      <c r="D14" s="6" t="s">
        <v>12</v>
      </c>
      <c r="E14" s="4"/>
      <c r="F14" s="7" t="s">
        <v>32</v>
      </c>
      <c r="G14" s="7" t="s">
        <v>33</v>
      </c>
      <c r="H14" s="4" t="s">
        <v>15</v>
      </c>
      <c r="I14" s="7"/>
    </row>
    <row r="15" customFormat="false" ht="15" hidden="false" customHeight="false" outlineLevel="0" collapsed="false">
      <c r="A15" s="4" t="n">
        <v>11</v>
      </c>
      <c r="B15" s="5" t="n">
        <v>46319</v>
      </c>
      <c r="C15" s="4" t="s">
        <v>11</v>
      </c>
      <c r="D15" s="6" t="s">
        <v>12</v>
      </c>
      <c r="E15" s="4"/>
      <c r="F15" s="7" t="s">
        <v>34</v>
      </c>
      <c r="G15" s="7" t="s">
        <v>35</v>
      </c>
      <c r="H15" s="4" t="s">
        <v>15</v>
      </c>
      <c r="I15" s="7"/>
    </row>
    <row r="16" customFormat="false" ht="15" hidden="false" customHeight="false" outlineLevel="0" collapsed="false">
      <c r="A16" s="4" t="n">
        <v>12</v>
      </c>
      <c r="B16" s="5" t="n">
        <v>46319</v>
      </c>
      <c r="C16" s="4" t="s">
        <v>11</v>
      </c>
      <c r="D16" s="8" t="s">
        <v>20</v>
      </c>
      <c r="E16" s="4" t="n">
        <v>6</v>
      </c>
      <c r="F16" s="7" t="s">
        <v>21</v>
      </c>
      <c r="G16" s="7" t="s">
        <v>22</v>
      </c>
      <c r="H16" s="4" t="s">
        <v>15</v>
      </c>
      <c r="I16" s="7"/>
    </row>
    <row r="17" customFormat="false" ht="15" hidden="false" customHeight="false" outlineLevel="0" collapsed="false">
      <c r="A17" s="4" t="n">
        <v>13</v>
      </c>
      <c r="B17" s="5" t="n">
        <v>46320</v>
      </c>
      <c r="C17" s="4" t="s">
        <v>23</v>
      </c>
      <c r="D17" s="6" t="s">
        <v>12</v>
      </c>
      <c r="E17" s="4" t="n">
        <v>2</v>
      </c>
      <c r="F17" s="7" t="s">
        <v>36</v>
      </c>
      <c r="G17" s="7" t="s">
        <v>37</v>
      </c>
      <c r="H17" s="4" t="s">
        <v>15</v>
      </c>
      <c r="I17" s="7"/>
    </row>
    <row r="18" customFormat="false" ht="15" hidden="false" customHeight="false" outlineLevel="0" collapsed="false">
      <c r="A18" s="4" t="n">
        <v>14</v>
      </c>
      <c r="B18" s="5" t="n">
        <v>46320</v>
      </c>
      <c r="C18" s="4" t="s">
        <v>23</v>
      </c>
      <c r="D18" s="6" t="s">
        <v>12</v>
      </c>
      <c r="E18" s="4"/>
      <c r="F18" s="7" t="s">
        <v>38</v>
      </c>
      <c r="G18" s="7" t="s">
        <v>39</v>
      </c>
      <c r="H18" s="4" t="s">
        <v>15</v>
      </c>
      <c r="I18" s="7"/>
    </row>
    <row r="19" customFormat="false" ht="15" hidden="false" customHeight="false" outlineLevel="0" collapsed="false">
      <c r="A19" s="4" t="n">
        <v>15</v>
      </c>
      <c r="B19" s="5" t="n">
        <v>46320</v>
      </c>
      <c r="C19" s="4" t="s">
        <v>23</v>
      </c>
      <c r="D19" s="6" t="s">
        <v>12</v>
      </c>
      <c r="E19" s="4"/>
      <c r="F19" s="7" t="s">
        <v>40</v>
      </c>
      <c r="G19" s="7" t="s">
        <v>41</v>
      </c>
      <c r="H19" s="4" t="s">
        <v>15</v>
      </c>
      <c r="I19" s="7"/>
    </row>
    <row r="20" customFormat="false" ht="15" hidden="false" customHeight="false" outlineLevel="0" collapsed="false">
      <c r="A20" s="4" t="n">
        <v>16</v>
      </c>
      <c r="B20" s="5" t="n">
        <v>46320</v>
      </c>
      <c r="C20" s="4" t="s">
        <v>23</v>
      </c>
      <c r="D20" s="8" t="s">
        <v>20</v>
      </c>
      <c r="E20" s="4" t="n">
        <v>6</v>
      </c>
      <c r="F20" s="7" t="s">
        <v>21</v>
      </c>
      <c r="G20" s="7" t="s">
        <v>22</v>
      </c>
      <c r="H20" s="4" t="s">
        <v>15</v>
      </c>
      <c r="I20" s="7"/>
    </row>
    <row r="21" customFormat="false" ht="15" hidden="false" customHeight="false" outlineLevel="0" collapsed="false">
      <c r="A21" s="4" t="n">
        <v>17</v>
      </c>
      <c r="B21" s="5" t="n">
        <v>46327</v>
      </c>
      <c r="C21" s="4" t="s">
        <v>23</v>
      </c>
      <c r="D21" s="9" t="s">
        <v>18</v>
      </c>
      <c r="E21" s="4" t="n">
        <v>2</v>
      </c>
      <c r="F21" s="7" t="s">
        <v>42</v>
      </c>
      <c r="G21" s="7" t="s">
        <v>43</v>
      </c>
      <c r="H21" s="4" t="s">
        <v>15</v>
      </c>
      <c r="I21" s="7"/>
    </row>
    <row r="22" customFormat="false" ht="15" hidden="false" customHeight="false" outlineLevel="0" collapsed="false">
      <c r="A22" s="4" t="n">
        <v>18</v>
      </c>
      <c r="B22" s="5" t="n">
        <v>46327</v>
      </c>
      <c r="C22" s="4" t="s">
        <v>23</v>
      </c>
      <c r="D22" s="8" t="s">
        <v>20</v>
      </c>
      <c r="E22" s="4" t="n">
        <v>6</v>
      </c>
      <c r="F22" s="7" t="s">
        <v>21</v>
      </c>
      <c r="G22" s="7" t="s">
        <v>22</v>
      </c>
      <c r="H22" s="4" t="s">
        <v>15</v>
      </c>
      <c r="I22" s="7"/>
    </row>
    <row r="23" customFormat="false" ht="15" hidden="false" customHeight="false" outlineLevel="0" collapsed="false">
      <c r="A23" s="4" t="n">
        <v>19</v>
      </c>
      <c r="B23" s="5" t="n">
        <v>46328</v>
      </c>
      <c r="C23" s="4" t="s">
        <v>44</v>
      </c>
      <c r="D23" s="9" t="s">
        <v>18</v>
      </c>
      <c r="E23" s="4" t="n">
        <v>2</v>
      </c>
      <c r="F23" s="7" t="s">
        <v>42</v>
      </c>
      <c r="G23" s="7" t="s">
        <v>45</v>
      </c>
      <c r="H23" s="4" t="s">
        <v>15</v>
      </c>
      <c r="I23" s="7"/>
    </row>
    <row r="24" customFormat="false" ht="15" hidden="false" customHeight="false" outlineLevel="0" collapsed="false">
      <c r="A24" s="4" t="n">
        <v>20</v>
      </c>
      <c r="B24" s="5" t="n">
        <v>46328</v>
      </c>
      <c r="C24" s="4" t="s">
        <v>44</v>
      </c>
      <c r="D24" s="8" t="s">
        <v>20</v>
      </c>
      <c r="E24" s="4" t="n">
        <v>6</v>
      </c>
      <c r="F24" s="7" t="s">
        <v>21</v>
      </c>
      <c r="G24" s="7" t="s">
        <v>22</v>
      </c>
      <c r="H24" s="4" t="s">
        <v>15</v>
      </c>
      <c r="I24" s="7"/>
    </row>
    <row r="25" customFormat="false" ht="15" hidden="false" customHeight="false" outlineLevel="0" collapsed="false">
      <c r="A25" s="4" t="n">
        <v>21</v>
      </c>
      <c r="B25" s="5" t="n">
        <v>46334</v>
      </c>
      <c r="C25" s="4" t="s">
        <v>23</v>
      </c>
      <c r="D25" s="9" t="s">
        <v>18</v>
      </c>
      <c r="E25" s="4" t="n">
        <v>2</v>
      </c>
      <c r="F25" s="7" t="s">
        <v>46</v>
      </c>
      <c r="G25" s="7" t="s">
        <v>47</v>
      </c>
      <c r="H25" s="4" t="s">
        <v>15</v>
      </c>
      <c r="I25" s="7"/>
    </row>
    <row r="26" customFormat="false" ht="15" hidden="false" customHeight="false" outlineLevel="0" collapsed="false">
      <c r="A26" s="4" t="n">
        <v>22</v>
      </c>
      <c r="B26" s="5" t="n">
        <v>46334</v>
      </c>
      <c r="C26" s="4" t="s">
        <v>23</v>
      </c>
      <c r="D26" s="8" t="s">
        <v>20</v>
      </c>
      <c r="E26" s="4" t="n">
        <v>6</v>
      </c>
      <c r="F26" s="7" t="s">
        <v>21</v>
      </c>
      <c r="G26" s="7" t="s">
        <v>22</v>
      </c>
      <c r="H26" s="4" t="s">
        <v>15</v>
      </c>
      <c r="I26" s="7"/>
    </row>
    <row r="27" customFormat="false" ht="15" hidden="false" customHeight="false" outlineLevel="0" collapsed="false">
      <c r="A27" s="4" t="n">
        <v>23</v>
      </c>
      <c r="B27" s="5" t="n">
        <v>46335</v>
      </c>
      <c r="C27" s="4" t="s">
        <v>44</v>
      </c>
      <c r="D27" s="9" t="s">
        <v>18</v>
      </c>
      <c r="E27" s="4" t="n">
        <v>2</v>
      </c>
      <c r="F27" s="7" t="s">
        <v>46</v>
      </c>
      <c r="G27" s="7" t="s">
        <v>48</v>
      </c>
      <c r="H27" s="4" t="s">
        <v>15</v>
      </c>
      <c r="I27" s="7"/>
    </row>
    <row r="28" customFormat="false" ht="15" hidden="false" customHeight="false" outlineLevel="0" collapsed="false">
      <c r="A28" s="4" t="n">
        <v>24</v>
      </c>
      <c r="B28" s="5" t="n">
        <v>46335</v>
      </c>
      <c r="C28" s="4" t="s">
        <v>44</v>
      </c>
      <c r="D28" s="8" t="s">
        <v>20</v>
      </c>
      <c r="E28" s="4" t="n">
        <v>6</v>
      </c>
      <c r="F28" s="7" t="s">
        <v>21</v>
      </c>
      <c r="G28" s="7" t="s">
        <v>22</v>
      </c>
      <c r="H28" s="4" t="s">
        <v>15</v>
      </c>
      <c r="I28" s="7"/>
    </row>
    <row r="29" customFormat="false" ht="15" hidden="false" customHeight="false" outlineLevel="0" collapsed="false">
      <c r="A29" s="4" t="n">
        <v>25</v>
      </c>
      <c r="B29" s="5" t="n">
        <v>46341</v>
      </c>
      <c r="C29" s="4" t="s">
        <v>23</v>
      </c>
      <c r="D29" s="9" t="s">
        <v>18</v>
      </c>
      <c r="E29" s="4" t="n">
        <v>2</v>
      </c>
      <c r="F29" s="7" t="s">
        <v>24</v>
      </c>
      <c r="G29" s="7" t="s">
        <v>49</v>
      </c>
      <c r="H29" s="4" t="s">
        <v>15</v>
      </c>
      <c r="I29" s="7"/>
    </row>
    <row r="30" customFormat="false" ht="15" hidden="false" customHeight="false" outlineLevel="0" collapsed="false">
      <c r="A30" s="4" t="n">
        <v>26</v>
      </c>
      <c r="B30" s="5" t="n">
        <v>46341</v>
      </c>
      <c r="C30" s="4" t="s">
        <v>23</v>
      </c>
      <c r="D30" s="8" t="s">
        <v>20</v>
      </c>
      <c r="E30" s="4" t="n">
        <v>6</v>
      </c>
      <c r="F30" s="7" t="s">
        <v>21</v>
      </c>
      <c r="G30" s="7" t="s">
        <v>22</v>
      </c>
      <c r="H30" s="4" t="s">
        <v>15</v>
      </c>
      <c r="I30" s="7"/>
    </row>
    <row r="31" customFormat="false" ht="15" hidden="false" customHeight="false" outlineLevel="0" collapsed="false">
      <c r="A31" s="4" t="n">
        <v>27</v>
      </c>
      <c r="B31" s="5" t="n">
        <v>46342</v>
      </c>
      <c r="C31" s="4" t="s">
        <v>44</v>
      </c>
      <c r="D31" s="9" t="s">
        <v>18</v>
      </c>
      <c r="E31" s="4" t="n">
        <v>2</v>
      </c>
      <c r="F31" s="7" t="s">
        <v>24</v>
      </c>
      <c r="G31" s="7" t="s">
        <v>50</v>
      </c>
      <c r="H31" s="4" t="s">
        <v>15</v>
      </c>
      <c r="I31" s="7"/>
    </row>
    <row r="32" customFormat="false" ht="15" hidden="false" customHeight="false" outlineLevel="0" collapsed="false">
      <c r="A32" s="4" t="n">
        <v>28</v>
      </c>
      <c r="B32" s="5" t="n">
        <v>46342</v>
      </c>
      <c r="C32" s="4" t="s">
        <v>44</v>
      </c>
      <c r="D32" s="8" t="s">
        <v>20</v>
      </c>
      <c r="E32" s="4" t="n">
        <v>6</v>
      </c>
      <c r="F32" s="7" t="s">
        <v>21</v>
      </c>
      <c r="G32" s="7" t="s">
        <v>22</v>
      </c>
      <c r="H32" s="4" t="s">
        <v>15</v>
      </c>
      <c r="I32" s="7"/>
    </row>
    <row r="33" customFormat="false" ht="15" hidden="false" customHeight="false" outlineLevel="0" collapsed="false">
      <c r="A33" s="4" t="n">
        <v>29</v>
      </c>
      <c r="B33" s="5" t="n">
        <v>46348</v>
      </c>
      <c r="C33" s="4" t="s">
        <v>23</v>
      </c>
      <c r="D33" s="9" t="s">
        <v>18</v>
      </c>
      <c r="E33" s="4" t="n">
        <v>2</v>
      </c>
      <c r="F33" s="7" t="s">
        <v>34</v>
      </c>
      <c r="G33" s="7" t="s">
        <v>51</v>
      </c>
      <c r="H33" s="4" t="s">
        <v>15</v>
      </c>
      <c r="I33" s="7"/>
    </row>
    <row r="34" customFormat="false" ht="15" hidden="false" customHeight="false" outlineLevel="0" collapsed="false">
      <c r="A34" s="4" t="n">
        <v>30</v>
      </c>
      <c r="B34" s="5" t="n">
        <v>46348</v>
      </c>
      <c r="C34" s="4" t="s">
        <v>23</v>
      </c>
      <c r="D34" s="8" t="s">
        <v>20</v>
      </c>
      <c r="E34" s="4" t="n">
        <v>6</v>
      </c>
      <c r="F34" s="7" t="s">
        <v>21</v>
      </c>
      <c r="G34" s="7" t="s">
        <v>22</v>
      </c>
      <c r="H34" s="4" t="s">
        <v>15</v>
      </c>
      <c r="I34" s="7"/>
    </row>
    <row r="35" customFormat="false" ht="15" hidden="false" customHeight="false" outlineLevel="0" collapsed="false">
      <c r="A35" s="4" t="n">
        <v>31</v>
      </c>
      <c r="B35" s="5" t="n">
        <v>46349</v>
      </c>
      <c r="C35" s="4" t="s">
        <v>44</v>
      </c>
      <c r="D35" s="9" t="s">
        <v>18</v>
      </c>
      <c r="E35" s="4" t="n">
        <v>2</v>
      </c>
      <c r="F35" s="7" t="s">
        <v>52</v>
      </c>
      <c r="G35" s="7" t="s">
        <v>53</v>
      </c>
      <c r="H35" s="4" t="s">
        <v>15</v>
      </c>
      <c r="I35" s="7"/>
    </row>
    <row r="36" customFormat="false" ht="15" hidden="false" customHeight="false" outlineLevel="0" collapsed="false">
      <c r="A36" s="4" t="n">
        <v>32</v>
      </c>
      <c r="B36" s="5" t="n">
        <v>46349</v>
      </c>
      <c r="C36" s="4" t="s">
        <v>44</v>
      </c>
      <c r="D36" s="8" t="s">
        <v>20</v>
      </c>
      <c r="E36" s="4" t="n">
        <v>6</v>
      </c>
      <c r="F36" s="7" t="s">
        <v>21</v>
      </c>
      <c r="G36" s="7" t="s">
        <v>22</v>
      </c>
      <c r="H36" s="4" t="s">
        <v>15</v>
      </c>
      <c r="I36" s="7"/>
    </row>
  </sheetData>
  <autoFilter ref="A4:I36"/>
  <conditionalFormatting sqref="A5:I36">
    <cfRule type="expression" priority="2" aboveAverage="0" equalAverage="0" bottom="0" percent="0" rank="0" text="" dxfId="6">
      <formula>$H5="Oui"</formula>
    </cfRule>
  </conditionalFormatting>
  <dataValidations count="1">
    <dataValidation allowBlank="true" errorStyle="stop" operator="between" showDropDown="false" showErrorMessage="false" showInputMessage="false" sqref="H5:H36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0" t="s">
        <v>5</v>
      </c>
      <c r="B3" s="10" t="s">
        <v>55</v>
      </c>
      <c r="C3" s="10" t="s">
        <v>56</v>
      </c>
      <c r="D3" s="10" t="s">
        <v>57</v>
      </c>
      <c r="E3" s="10" t="s">
        <v>58</v>
      </c>
    </row>
    <row r="4" customFormat="false" ht="15" hidden="false" customHeight="false" outlineLevel="0" collapsed="false">
      <c r="A4" s="11" t="s">
        <v>12</v>
      </c>
      <c r="B4" s="12" t="n">
        <f aca="false">COUNTIF(Checklist!$D$5:$D$36,A4)</f>
        <v>12</v>
      </c>
      <c r="C4" s="12" t="n">
        <f aca="false">COUNTIFS(Checklist!$D$5:$D$36,A4,Checklist!$H$5:$H$36,"Oui")</f>
        <v>0</v>
      </c>
      <c r="D4" s="13" t="n">
        <f aca="false">IF(B4=0,0,C4/B4)</f>
        <v>0</v>
      </c>
      <c r="E4" s="12" t="n">
        <f aca="false">SUMIF(Checklist!$D$5:$D$36,A4,Checklist!$E$5:$E$36)</f>
        <v>8</v>
      </c>
    </row>
    <row r="5" customFormat="false" ht="15" hidden="false" customHeight="false" outlineLevel="0" collapsed="false">
      <c r="A5" s="14" t="s">
        <v>18</v>
      </c>
      <c r="B5" s="12" t="n">
        <f aca="false">COUNTIF(Checklist!$D$5:$D$36,A5)</f>
        <v>8</v>
      </c>
      <c r="C5" s="12" t="n">
        <f aca="false">COUNTIFS(Checklist!$D$5:$D$36,A5,Checklist!$H$5:$H$36,"Oui")</f>
        <v>0</v>
      </c>
      <c r="D5" s="13" t="n">
        <f aca="false">IF(B5=0,0,C5/B5)</f>
        <v>0</v>
      </c>
      <c r="E5" s="12" t="n">
        <f aca="false">SUMIF(Checklist!$D$5:$D$36,A5,Checklist!$E$5:$E$36)</f>
        <v>16</v>
      </c>
    </row>
    <row r="6" customFormat="false" ht="15" hidden="false" customHeight="false" outlineLevel="0" collapsed="false">
      <c r="A6" s="15" t="s">
        <v>20</v>
      </c>
      <c r="B6" s="12" t="n">
        <f aca="false">COUNTIF(Checklist!$D$5:$D$36,A6)</f>
        <v>12</v>
      </c>
      <c r="C6" s="12" t="n">
        <f aca="false">COUNTIFS(Checklist!$D$5:$D$36,A6,Checklist!$H$5:$H$36,"Oui")</f>
        <v>0</v>
      </c>
      <c r="D6" s="13" t="n">
        <f aca="false">IF(B6=0,0,C6/B6)</f>
        <v>0</v>
      </c>
      <c r="E6" s="12" t="n">
        <f aca="false">SUMIF(Checklist!$D$5:$D$36,A6,Checklist!$E$5:$E$36)</f>
        <v>72</v>
      </c>
    </row>
    <row r="7" customFormat="false" ht="15" hidden="false" customHeight="false" outlineLevel="0" collapsed="false">
      <c r="A7" s="16" t="s">
        <v>59</v>
      </c>
      <c r="B7" s="17" t="n">
        <f aca="false">SUM(B4:B6)</f>
        <v>32</v>
      </c>
      <c r="C7" s="17" t="n">
        <f aca="false">SUM(C4:C6)</f>
        <v>0</v>
      </c>
      <c r="D7" s="18" t="n">
        <f aca="false">IF(B7=0,0,C7/B7)</f>
        <v>0</v>
      </c>
      <c r="E7" s="17" t="n">
        <f aca="false">SUM(E4:E6)</f>
        <v>96</v>
      </c>
    </row>
    <row r="10" customFormat="false" ht="15" hidden="false" customHeight="false" outlineLevel="0" collapsed="false">
      <c r="A10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2026-10-17T11:14:17Z</dcterms:created>
  <dc:creator>openpyxl</dc:creator>
  <dc:description/>
  <dc:language>en-US</dc:language>
  <cp:lastModifiedBy/>
  <dcterms:modified xsi:type="dcterms:W3CDTF">2026-10-17T11:14:17Z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